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çıklama" sheetId="1" state="visible" r:id="rId3"/>
    <sheet name="Güç Bütçesi" sheetId="2" state="visible" r:id="rId4"/>
    <sheet name="Sinyal Bütçesi" sheetId="3" state="visible" r:id="rId5"/>
    <sheet name="Veri Bütçe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<sst xmlns="http://schemas.openxmlformats.org/spreadsheetml/2006/main" count="196" uniqueCount="148">
  <si>
    <t xml:space="preserve">ODERA – KTR Güç / Sinyal / Veri Bütçesi (Taslak)</t>
  </si>
  <si>
    <t xml:space="preserve">Kapsam: TEKNOFEST B2 KTR şablonundaki Güç Bütçesi, Sinyal Bütçesi ve Veri Bütçesi bölümleri (statik ateşleme test altyapısı, SATD).</t>
  </si>
  <si>
    <t xml:space="preserve">Durum: SATD donanım seçimleri (DAQ, sensör, valf, ateşleyici, besleme) henüz yapılmadı. Tüm sayısal değerler VARSAYIMDIR (*) ve gerçek ürün seçilince değiştirilmelidir.</t>
  </si>
  <si>
    <t xml:space="preserve">Renk kodu: MAVİ yazı = elle girilen/varsayım değer (değiştir). SİYAH yazı = formül (dokunma).</t>
  </si>
  <si>
    <t xml:space="preserve">Tasarım referansı (kullanıcının MATLAB/CEA çıktısından): Pc = 10 bar, itki = 100 N, yanma süresi = 8 s, parafin + N₂O, O/F = 6.6.</t>
  </si>
  <si>
    <t xml:space="preserve">Sensör aralıkları bu tasarım değerlerinin yaklaşık 2 katı olarak seçilmiştir (Pc 0–20 bar, itki 0–200 N). N₂O tank basıncı ~50 bar mertebesi için 0–100 bar varsayılmıştır.</t>
  </si>
  <si>
    <t xml:space="preserve">Sekmeler: Güç Bütçesi → Sinyal Bütçesi → Veri Bütçesi. Bileşen/sensör numaraları üç sekmede tutarlı kullanılmalıdır; bu tablolar SATD Enstrümantasyon Planı'na girdi olur.</t>
  </si>
  <si>
    <t xml:space="preserve">Sinyal şeması renk önerisi: Mavi = analog sensör, Yeşil = dijital haberleşme, Kırmızı = komut/aktüatör, Turuncu = güç hatları.</t>
  </si>
  <si>
    <t xml:space="preserve">Güç Bütçesi (örnek / varsayımsal değerler*)</t>
  </si>
  <si>
    <t xml:space="preserve">Güç = Besleme gerilimi × nominal akım. Enerji = Güç × süre / 3600. Mavi hücreler değiştirilebilir girdilerdir.</t>
  </si>
  <si>
    <t xml:space="preserve">No</t>
  </si>
  <si>
    <t xml:space="preserve">Bileşen</t>
  </si>
  <si>
    <t xml:space="preserve">Besleme (V)</t>
  </si>
  <si>
    <t xml:space="preserve">Nominal akım (A)</t>
  </si>
  <si>
    <t xml:space="preserve">Tepe akım (A)</t>
  </si>
  <si>
    <t xml:space="preserve">Güç (W)</t>
  </si>
  <si>
    <t xml:space="preserve">Tepe güç (W)</t>
  </si>
  <si>
    <t xml:space="preserve">Süre (s)</t>
  </si>
  <si>
    <t xml:space="preserve">Enerji (Wh)</t>
  </si>
  <si>
    <t xml:space="preserve">Not</t>
  </si>
  <si>
    <t xml:space="preserve">P1</t>
  </si>
  <si>
    <t xml:space="preserve">DAQ / kontrol kartı*</t>
  </si>
  <si>
    <t xml:space="preserve">Tüm operasyon boyunca açık (30 dk)</t>
  </si>
  <si>
    <t xml:space="preserve">P2</t>
  </si>
  <si>
    <t xml:space="preserve">Basınç transdüserleri (3 adet)*</t>
  </si>
  <si>
    <t xml:space="preserve">Pc, tank, hat</t>
  </si>
  <si>
    <t xml:space="preserve">P3</t>
  </si>
  <si>
    <t xml:space="preserve">Yük hücresi + yükselteç*</t>
  </si>
  <si>
    <t xml:space="preserve">P4</t>
  </si>
  <si>
    <t xml:space="preserve">Termokupl şartlandırıcı*</t>
  </si>
  <si>
    <t xml:space="preserve">P5</t>
  </si>
  <si>
    <t xml:space="preserve">Oksitleyici ana valfi (solenoid)*</t>
  </si>
  <si>
    <t xml:space="preserve">Yanma boyunca açık + açma darbesi</t>
  </si>
  <si>
    <t xml:space="preserve">P6</t>
  </si>
  <si>
    <t xml:space="preserve">Emniyet / tahliye valfi*</t>
  </si>
  <si>
    <t xml:space="preserve">P7</t>
  </si>
  <si>
    <t xml:space="preserve">Ateşleyici (köprü teli)*</t>
  </si>
  <si>
    <t xml:space="preserve">Kısa süreli yüksek akım</t>
  </si>
  <si>
    <t xml:space="preserve">P8</t>
  </si>
  <si>
    <t xml:space="preserve">Röle / sürücü kartı*</t>
  </si>
  <si>
    <t xml:space="preserve">P9</t>
  </si>
  <si>
    <t xml:space="preserve">Kamera / uyarı ışığı / buzzer*</t>
  </si>
  <si>
    <t xml:space="preserve">TOPLAM</t>
  </si>
  <si>
    <t xml:space="preserve">Varsayımlar</t>
  </si>
  <si>
    <t xml:space="preserve">Güvenlik marjı (oran)</t>
  </si>
  <si>
    <t xml:space="preserve">DC-DC / sistem verimi</t>
  </si>
  <si>
    <t xml:space="preserve">Batarya kullanılabilir deşarj derinliği</t>
  </si>
  <si>
    <t xml:space="preserve">Batarya nominal gerilimi (V)</t>
  </si>
  <si>
    <t xml:space="preserve">Sonuçlar</t>
  </si>
  <si>
    <t xml:space="preserve">Marjlı toplam enerji (Wh)</t>
  </si>
  <si>
    <t xml:space="preserve">Gerekli min. batarya enerjisi (Wh)</t>
  </si>
  <si>
    <t xml:space="preserve">Min. batarya kapasitesi (Ah)</t>
  </si>
  <si>
    <t xml:space="preserve">Eşzamanlı tepe güç (W)</t>
  </si>
  <si>
    <t xml:space="preserve">Tepe batarya akımı (A)</t>
  </si>
  <si>
    <t xml:space="preserve">Not: Tepe akım, tüm bileşenlerin aynı anda tepe değerinde çalıştığı en kötü durumdur; batarya deşarj akımı (C-oranı) ve voltaj düşümü bu değere göre seçilmelidir.</t>
  </si>
  <si>
    <t xml:space="preserve">Sinyal Bütçesi (örnek / varsayımsal arayüzler*)</t>
  </si>
  <si>
    <t xml:space="preserve">Şematikte her sinyal tipi 'Renk' sütunundaki renkle çizilmelidir. Arayüz ve seviye değerleri seçilen donanıma göre güncellenecektir.</t>
  </si>
  <si>
    <t xml:space="preserve">Sinyal ID</t>
  </si>
  <si>
    <t xml:space="preserve">Kaynak</t>
  </si>
  <si>
    <t xml:space="preserve">Hedef</t>
  </si>
  <si>
    <t xml:space="preserve">Tür</t>
  </si>
  <si>
    <t xml:space="preserve">Arayüz / protokol*</t>
  </si>
  <si>
    <t xml:space="preserve">Gerilim / akım seviyesi*</t>
  </si>
  <si>
    <t xml:space="preserve">Yön</t>
  </si>
  <si>
    <t xml:space="preserve">Renk</t>
  </si>
  <si>
    <t xml:space="preserve">S1</t>
  </si>
  <si>
    <t xml:space="preserve">Pc transdüseri</t>
  </si>
  <si>
    <t xml:space="preserve">DAQ</t>
  </si>
  <si>
    <t xml:space="preserve">Analog</t>
  </si>
  <si>
    <t xml:space="preserve">0.5–4.5 V ratiometrik</t>
  </si>
  <si>
    <t xml:space="preserve">5 V</t>
  </si>
  <si>
    <t xml:space="preserve">→</t>
  </si>
  <si>
    <t xml:space="preserve">Mavi</t>
  </si>
  <si>
    <t xml:space="preserve">S2</t>
  </si>
  <si>
    <t xml:space="preserve">Tank basınç transdüseri</t>
  </si>
  <si>
    <t xml:space="preserve">S3</t>
  </si>
  <si>
    <t xml:space="preserve">Hat basınç transdüseri</t>
  </si>
  <si>
    <t xml:space="preserve">S4</t>
  </si>
  <si>
    <t xml:space="preserve">Yük hücresi</t>
  </si>
  <si>
    <t xml:space="preserve">Yükselteç / ADC</t>
  </si>
  <si>
    <t xml:space="preserve">Analog (köprü)</t>
  </si>
  <si>
    <t xml:space="preserve">mV/V</t>
  </si>
  <si>
    <t xml:space="preserve">~10 mV tam skala</t>
  </si>
  <si>
    <t xml:space="preserve">S5</t>
  </si>
  <si>
    <t xml:space="preserve">Termokupl</t>
  </si>
  <si>
    <t xml:space="preserve">Şartlandırıcı → DAQ</t>
  </si>
  <si>
    <t xml:space="preserve">K tipi</t>
  </si>
  <si>
    <t xml:space="preserve">mV</t>
  </si>
  <si>
    <t xml:space="preserve">S6</t>
  </si>
  <si>
    <t xml:space="preserve">Yükselteç / ADC, şartlandırıcı</t>
  </si>
  <si>
    <t xml:space="preserve">Dijital</t>
  </si>
  <si>
    <t xml:space="preserve">SPI / I²C</t>
  </si>
  <si>
    <t xml:space="preserve">3.3 V</t>
  </si>
  <si>
    <t xml:space="preserve">Yeşil</t>
  </si>
  <si>
    <t xml:space="preserve">S7</t>
  </si>
  <si>
    <t xml:space="preserve">Kontrol PC</t>
  </si>
  <si>
    <t xml:space="preserve">USB / UART / Ethernet</t>
  </si>
  <si>
    <t xml:space="preserve">–</t>
  </si>
  <si>
    <t xml:space="preserve">↔</t>
  </si>
  <si>
    <t xml:space="preserve">S8</t>
  </si>
  <si>
    <t xml:space="preserve">Ana valf rölesi</t>
  </si>
  <si>
    <t xml:space="preserve">Komut</t>
  </si>
  <si>
    <t xml:space="preserve">Dijital çıkış</t>
  </si>
  <si>
    <t xml:space="preserve">3.3 / 5 V</t>
  </si>
  <si>
    <t xml:space="preserve">Kırmızı</t>
  </si>
  <si>
    <t xml:space="preserve">S9</t>
  </si>
  <si>
    <t xml:space="preserve">Emniyet valfi rölesi</t>
  </si>
  <si>
    <t xml:space="preserve">S10</t>
  </si>
  <si>
    <t xml:space="preserve">Ateşleyici rölesi</t>
  </si>
  <si>
    <t xml:space="preserve">Dijital çıkış + arm anahtarı</t>
  </si>
  <si>
    <t xml:space="preserve">S11</t>
  </si>
  <si>
    <t xml:space="preserve">Acil durdurma butonu</t>
  </si>
  <si>
    <t xml:space="preserve">Röle hattı / DAQ</t>
  </si>
  <si>
    <t xml:space="preserve">Güvenlik</t>
  </si>
  <si>
    <t xml:space="preserve">Donanımsal devre kesme</t>
  </si>
  <si>
    <t xml:space="preserve">12 V</t>
  </si>
  <si>
    <t xml:space="preserve">G1</t>
  </si>
  <si>
    <t xml:space="preserve">Batarya / DC-DC</t>
  </si>
  <si>
    <t xml:space="preserve">Tüm bileşenler (bkz. Güç Bütçesi)</t>
  </si>
  <si>
    <t xml:space="preserve">Güç</t>
  </si>
  <si>
    <t xml:space="preserve">12 V ana hat, 5 V / 3.3 V DC-DC</t>
  </si>
  <si>
    <t xml:space="preserve">12 / 5 / 3.3 V</t>
  </si>
  <si>
    <t xml:space="preserve">Turuncu</t>
  </si>
  <si>
    <t xml:space="preserve">Veri Bütçesi (örnek / varsayımsal değerler*)</t>
  </si>
  <si>
    <t xml:space="preserve">Veri (kB) = Kanal × Hız × Bayt/örnek × Süre / 1000. Bayt/örnek = ADC bit / 8 (yukarı yuvarlanır).</t>
  </si>
  <si>
    <t xml:space="preserve">Ölçüm</t>
  </si>
  <si>
    <t xml:space="preserve">Sensör (Sinyal ID)</t>
  </si>
  <si>
    <t xml:space="preserve">Aralık*</t>
  </si>
  <si>
    <t xml:space="preserve">Kanal</t>
  </si>
  <si>
    <t xml:space="preserve">Hız (Hz)*</t>
  </si>
  <si>
    <t xml:space="preserve">ADC (bit)*</t>
  </si>
  <si>
    <t xml:space="preserve">Bayt/örnek</t>
  </si>
  <si>
    <t xml:space="preserve">Veri (kB)</t>
  </si>
  <si>
    <t xml:space="preserve">Zaman damgalı (kB)</t>
  </si>
  <si>
    <t xml:space="preserve">Pc</t>
  </si>
  <si>
    <t xml:space="preserve">0–20 bar</t>
  </si>
  <si>
    <t xml:space="preserve">Tank basıncı</t>
  </si>
  <si>
    <t xml:space="preserve">0–100 bar</t>
  </si>
  <si>
    <t xml:space="preserve">Hat basıncı</t>
  </si>
  <si>
    <t xml:space="preserve">İtki</t>
  </si>
  <si>
    <t xml:space="preserve">0–200 N</t>
  </si>
  <si>
    <t xml:space="preserve">Cidar sıcaklığı</t>
  </si>
  <si>
    <t xml:space="preserve">0–1000 °C</t>
  </si>
  <si>
    <t xml:space="preserve">Valf durumları / olaylar</t>
  </si>
  <si>
    <t xml:space="preserve">S8–S11</t>
  </si>
  <si>
    <t xml:space="preserve">Zaman damgası boyutu (bayt/örnek)</t>
  </si>
  <si>
    <t xml:space="preserve">Kayıt penceresi (s): ~10 s ön + 8 s yanma + ~12 s son</t>
  </si>
  <si>
    <t xml:space="preserve">Not: Sınırlayıcı olan toplam veri boyutu değil, DAQ'nın seçilen örnekleme hızlarını sürdürebilmesidir.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</si>
</sst>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%"/>
    <numFmt numFmtId="169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C6E0B4"/>
        <bgColor rgb="FFBDD7E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42" hidden="false" customHeight="true" outlineLevel="0" collapsed="false">
      <c r="A3" s="2" t="s">
        <v>1</v>
      </c>
    </row>
    <row r="4" customFormat="false" ht="42" hidden="false" customHeight="true" outlineLevel="0" collapsed="false">
      <c r="A4" s="2" t="s">
        <v>2</v>
      </c>
    </row>
    <row r="5" customFormat="false" ht="42" hidden="false" customHeight="true" outlineLevel="0" collapsed="false">
      <c r="A5" s="2" t="s">
        <v>3</v>
      </c>
    </row>
    <row r="6" customFormat="false" ht="42" hidden="false" customHeight="true" outlineLevel="0" collapsed="false">
      <c r="A6" s="2" t="s">
        <v>4</v>
      </c>
    </row>
    <row r="7" customFormat="false" ht="42" hidden="false" customHeight="true" outlineLevel="0" collapsed="false">
      <c r="A7" s="2" t="s">
        <v>5</v>
      </c>
    </row>
    <row r="8" customFormat="false" ht="42" hidden="false" customHeight="true" outlineLevel="0" collapsed="false">
      <c r="A8" s="2" t="s">
        <v>6</v>
      </c>
    </row>
    <row r="9" customFormat="false" ht="42" hidden="false" customHeight="tru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</row>
    <row r="4" customFormat="false" ht="31.5" hidden="false" customHeight="tru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</row>
    <row r="5" customFormat="false" ht="15" hidden="false" customHeight="false" outlineLevel="0" collapsed="false">
      <c r="A5" s="5" t="s">
        <v>20</v>
      </c>
      <c r="B5" s="6" t="s">
        <v>21</v>
      </c>
      <c r="C5" s="7" t="n">
        <v>5</v>
      </c>
      <c r="D5" s="8" t="n">
        <v>0.5</v>
      </c>
      <c r="E5" s="8" t="n">
        <v>0.8</v>
      </c>
      <c r="F5" s="9" t="n">
        <f aca="false">C5*D5</f>
        <v>2.5</v>
      </c>
      <c r="G5" s="9" t="n">
        <f aca="false">C5*E5</f>
        <v>4</v>
      </c>
      <c r="H5" s="10" t="n">
        <v>1800</v>
      </c>
      <c r="I5" s="9" t="n">
        <f aca="false">F5*H5/3600</f>
        <v>1.25</v>
      </c>
      <c r="J5" s="6" t="s">
        <v>22</v>
      </c>
    </row>
    <row r="6" customFormat="false" ht="15" hidden="false" customHeight="false" outlineLevel="0" collapsed="false">
      <c r="A6" s="5" t="s">
        <v>23</v>
      </c>
      <c r="B6" s="6" t="s">
        <v>24</v>
      </c>
      <c r="C6" s="7" t="n">
        <v>12</v>
      </c>
      <c r="D6" s="8" t="n">
        <v>0.06</v>
      </c>
      <c r="E6" s="8" t="n">
        <v>0.09</v>
      </c>
      <c r="F6" s="9" t="n">
        <f aca="false">C6*D6</f>
        <v>0.72</v>
      </c>
      <c r="G6" s="9" t="n">
        <f aca="false">C6*E6</f>
        <v>1.08</v>
      </c>
      <c r="H6" s="10" t="n">
        <v>1800</v>
      </c>
      <c r="I6" s="9" t="n">
        <f aca="false">F6*H6/3600</f>
        <v>0.36</v>
      </c>
      <c r="J6" s="6" t="s">
        <v>25</v>
      </c>
    </row>
    <row r="7" customFormat="false" ht="15" hidden="false" customHeight="false" outlineLevel="0" collapsed="false">
      <c r="A7" s="5" t="s">
        <v>26</v>
      </c>
      <c r="B7" s="6" t="s">
        <v>27</v>
      </c>
      <c r="C7" s="7" t="n">
        <v>5</v>
      </c>
      <c r="D7" s="8" t="n">
        <v>0.05</v>
      </c>
      <c r="E7" s="8" t="n">
        <v>0.05</v>
      </c>
      <c r="F7" s="9" t="n">
        <f aca="false">C7*D7</f>
        <v>0.25</v>
      </c>
      <c r="G7" s="9" t="n">
        <f aca="false">C7*E7</f>
        <v>0.25</v>
      </c>
      <c r="H7" s="10" t="n">
        <v>1800</v>
      </c>
      <c r="I7" s="9" t="n">
        <f aca="false">F7*H7/3600</f>
        <v>0.125</v>
      </c>
      <c r="J7" s="6"/>
    </row>
    <row r="8" customFormat="false" ht="15" hidden="false" customHeight="false" outlineLevel="0" collapsed="false">
      <c r="A8" s="5" t="s">
        <v>28</v>
      </c>
      <c r="B8" s="6" t="s">
        <v>29</v>
      </c>
      <c r="C8" s="7" t="n">
        <v>5</v>
      </c>
      <c r="D8" s="8" t="n">
        <v>0.03</v>
      </c>
      <c r="E8" s="8" t="n">
        <v>0.03</v>
      </c>
      <c r="F8" s="9" t="n">
        <f aca="false">C8*D8</f>
        <v>0.15</v>
      </c>
      <c r="G8" s="9" t="n">
        <f aca="false">C8*E8</f>
        <v>0.15</v>
      </c>
      <c r="H8" s="10" t="n">
        <v>1800</v>
      </c>
      <c r="I8" s="9" t="n">
        <f aca="false">F8*H8/3600</f>
        <v>0.075</v>
      </c>
      <c r="J8" s="6"/>
    </row>
    <row r="9" customFormat="false" ht="15" hidden="false" customHeight="false" outlineLevel="0" collapsed="false">
      <c r="A9" s="5" t="s">
        <v>30</v>
      </c>
      <c r="B9" s="6" t="s">
        <v>31</v>
      </c>
      <c r="C9" s="7" t="n">
        <v>12</v>
      </c>
      <c r="D9" s="8" t="n">
        <v>1</v>
      </c>
      <c r="E9" s="8" t="n">
        <v>1.5</v>
      </c>
      <c r="F9" s="9" t="n">
        <f aca="false">C9*D9</f>
        <v>12</v>
      </c>
      <c r="G9" s="9" t="n">
        <f aca="false">C9*E9</f>
        <v>18</v>
      </c>
      <c r="H9" s="10" t="n">
        <v>30</v>
      </c>
      <c r="I9" s="9" t="n">
        <f aca="false">F9*H9/3600</f>
        <v>0.1</v>
      </c>
      <c r="J9" s="6" t="s">
        <v>32</v>
      </c>
    </row>
    <row r="10" customFormat="false" ht="15" hidden="false" customHeight="false" outlineLevel="0" collapsed="false">
      <c r="A10" s="5" t="s">
        <v>33</v>
      </c>
      <c r="B10" s="6" t="s">
        <v>34</v>
      </c>
      <c r="C10" s="7" t="n">
        <v>12</v>
      </c>
      <c r="D10" s="8" t="n">
        <v>1</v>
      </c>
      <c r="E10" s="8" t="n">
        <v>1.5</v>
      </c>
      <c r="F10" s="9" t="n">
        <f aca="false">C10*D10</f>
        <v>12</v>
      </c>
      <c r="G10" s="9" t="n">
        <f aca="false">C10*E10</f>
        <v>18</v>
      </c>
      <c r="H10" s="10" t="n">
        <v>30</v>
      </c>
      <c r="I10" s="9" t="n">
        <f aca="false">F10*H10/3600</f>
        <v>0.1</v>
      </c>
      <c r="J10" s="6"/>
    </row>
    <row r="11" customFormat="false" ht="15" hidden="false" customHeight="false" outlineLevel="0" collapsed="false">
      <c r="A11" s="5" t="s">
        <v>35</v>
      </c>
      <c r="B11" s="6" t="s">
        <v>36</v>
      </c>
      <c r="C11" s="7" t="n">
        <v>12</v>
      </c>
      <c r="D11" s="8" t="n">
        <v>2</v>
      </c>
      <c r="E11" s="8" t="n">
        <v>3</v>
      </c>
      <c r="F11" s="9" t="n">
        <f aca="false">C11*D11</f>
        <v>24</v>
      </c>
      <c r="G11" s="9" t="n">
        <f aca="false">C11*E11</f>
        <v>36</v>
      </c>
      <c r="H11" s="10" t="n">
        <v>2</v>
      </c>
      <c r="I11" s="9" t="n">
        <f aca="false">F11*H11/3600</f>
        <v>0.0133333333333333</v>
      </c>
      <c r="J11" s="6" t="s">
        <v>37</v>
      </c>
    </row>
    <row r="12" customFormat="false" ht="15" hidden="false" customHeight="false" outlineLevel="0" collapsed="false">
      <c r="A12" s="5" t="s">
        <v>38</v>
      </c>
      <c r="B12" s="6" t="s">
        <v>39</v>
      </c>
      <c r="C12" s="7" t="n">
        <v>12</v>
      </c>
      <c r="D12" s="8" t="n">
        <v>0.15</v>
      </c>
      <c r="E12" s="8" t="n">
        <v>0.2</v>
      </c>
      <c r="F12" s="9" t="n">
        <f aca="false">C12*D12</f>
        <v>1.8</v>
      </c>
      <c r="G12" s="9" t="n">
        <f aca="false">C12*E12</f>
        <v>2.4</v>
      </c>
      <c r="H12" s="10" t="n">
        <v>1800</v>
      </c>
      <c r="I12" s="9" t="n">
        <f aca="false">F12*H12/3600</f>
        <v>0.9</v>
      </c>
      <c r="J12" s="6"/>
    </row>
    <row r="13" customFormat="false" ht="15" hidden="false" customHeight="false" outlineLevel="0" collapsed="false">
      <c r="A13" s="5" t="s">
        <v>40</v>
      </c>
      <c r="B13" s="6" t="s">
        <v>41</v>
      </c>
      <c r="C13" s="7" t="n">
        <v>12</v>
      </c>
      <c r="D13" s="8" t="n">
        <v>0.5</v>
      </c>
      <c r="E13" s="8" t="n">
        <v>0.6</v>
      </c>
      <c r="F13" s="9" t="n">
        <f aca="false">C13*D13</f>
        <v>6</v>
      </c>
      <c r="G13" s="9" t="n">
        <f aca="false">C13*E13</f>
        <v>7.2</v>
      </c>
      <c r="H13" s="10" t="n">
        <v>1800</v>
      </c>
      <c r="I13" s="9" t="n">
        <f aca="false">F13*H13/3600</f>
        <v>3</v>
      </c>
      <c r="J13" s="6"/>
    </row>
    <row r="14" customFormat="false" ht="15" hidden="false" customHeight="false" outlineLevel="0" collapsed="false">
      <c r="A14" s="11"/>
      <c r="B14" s="11" t="s">
        <v>42</v>
      </c>
      <c r="C14" s="11"/>
      <c r="D14" s="11"/>
      <c r="E14" s="11"/>
      <c r="F14" s="12" t="n">
        <f aca="false">SUM(F5:F13)</f>
        <v>59.42</v>
      </c>
      <c r="G14" s="12" t="n">
        <f aca="false">SUM(G5:G13)</f>
        <v>87.08</v>
      </c>
      <c r="H14" s="11"/>
      <c r="I14" s="12" t="n">
        <f aca="false">SUM(I5:I13)</f>
        <v>5.92333333333333</v>
      </c>
      <c r="J14" s="11"/>
    </row>
    <row r="16" customFormat="false" ht="15" hidden="false" customHeight="false" outlineLevel="0" collapsed="false">
      <c r="A16" s="13" t="s">
        <v>43</v>
      </c>
    </row>
    <row r="17" customFormat="false" ht="15" hidden="false" customHeight="false" outlineLevel="0" collapsed="false">
      <c r="B17" s="6" t="s">
        <v>44</v>
      </c>
      <c r="C17" s="14" t="n">
        <v>0.5</v>
      </c>
    </row>
    <row r="18" customFormat="false" ht="15" hidden="false" customHeight="false" outlineLevel="0" collapsed="false">
      <c r="B18" s="6" t="s">
        <v>45</v>
      </c>
      <c r="C18" s="14" t="n">
        <v>0.85</v>
      </c>
    </row>
    <row r="19" customFormat="false" ht="15" hidden="false" customHeight="false" outlineLevel="0" collapsed="false">
      <c r="B19" s="6" t="s">
        <v>46</v>
      </c>
      <c r="C19" s="14" t="n">
        <v>0.8</v>
      </c>
    </row>
    <row r="20" customFormat="false" ht="15" hidden="false" customHeight="false" outlineLevel="0" collapsed="false">
      <c r="B20" s="6" t="s">
        <v>47</v>
      </c>
      <c r="C20" s="7" t="n">
        <v>12</v>
      </c>
    </row>
    <row r="22" customFormat="false" ht="15" hidden="false" customHeight="false" outlineLevel="0" collapsed="false">
      <c r="A22" s="13" t="s">
        <v>48</v>
      </c>
    </row>
    <row r="23" customFormat="false" ht="15" hidden="false" customHeight="false" outlineLevel="0" collapsed="false">
      <c r="B23" s="6" t="s">
        <v>49</v>
      </c>
      <c r="C23" s="15" t="n">
        <f aca="false">I14*(1+C17)</f>
        <v>8.885</v>
      </c>
    </row>
    <row r="24" customFormat="false" ht="15" hidden="false" customHeight="false" outlineLevel="0" collapsed="false">
      <c r="B24" s="6" t="s">
        <v>50</v>
      </c>
      <c r="C24" s="15" t="n">
        <f aca="false">C23/(C18*C19)</f>
        <v>13.0661764705882</v>
      </c>
    </row>
    <row r="25" customFormat="false" ht="15" hidden="false" customHeight="false" outlineLevel="0" collapsed="false">
      <c r="B25" s="6" t="s">
        <v>51</v>
      </c>
      <c r="C25" s="15" t="n">
        <f aca="false">C24/C20</f>
        <v>1.08884803921569</v>
      </c>
    </row>
    <row r="26" customFormat="false" ht="15" hidden="false" customHeight="false" outlineLevel="0" collapsed="false">
      <c r="B26" s="6" t="s">
        <v>52</v>
      </c>
      <c r="C26" s="16" t="n">
        <f aca="false">G14</f>
        <v>87.08</v>
      </c>
    </row>
    <row r="27" customFormat="false" ht="15" hidden="false" customHeight="false" outlineLevel="0" collapsed="false">
      <c r="B27" s="6" t="s">
        <v>53</v>
      </c>
      <c r="C27" s="16" t="n">
        <f aca="false">G14/C18/C20</f>
        <v>8.53725490196078</v>
      </c>
    </row>
    <row r="29" customFormat="false" ht="15" hidden="false" customHeight="false" outlineLevel="0" collapsed="false">
      <c r="B29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3" t="s">
        <v>56</v>
      </c>
    </row>
    <row r="4" customFormat="false" ht="31.5" hidden="false" customHeight="true" outlineLevel="0" collapsed="false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</row>
    <row r="5" customFormat="false" ht="15" hidden="false" customHeight="false" outlineLevel="0" collapsed="false">
      <c r="A5" s="5" t="s">
        <v>65</v>
      </c>
      <c r="B5" s="6" t="s">
        <v>66</v>
      </c>
      <c r="C5" s="6" t="s">
        <v>67</v>
      </c>
      <c r="D5" s="6" t="s">
        <v>68</v>
      </c>
      <c r="E5" s="17" t="s">
        <v>69</v>
      </c>
      <c r="F5" s="17" t="s">
        <v>70</v>
      </c>
      <c r="G5" s="5" t="s">
        <v>71</v>
      </c>
      <c r="H5" s="18" t="s">
        <v>72</v>
      </c>
    </row>
    <row r="6" customFormat="false" ht="15" hidden="false" customHeight="false" outlineLevel="0" collapsed="false">
      <c r="A6" s="5" t="s">
        <v>73</v>
      </c>
      <c r="B6" s="6" t="s">
        <v>74</v>
      </c>
      <c r="C6" s="6" t="s">
        <v>67</v>
      </c>
      <c r="D6" s="6" t="s">
        <v>68</v>
      </c>
      <c r="E6" s="17" t="s">
        <v>69</v>
      </c>
      <c r="F6" s="17" t="s">
        <v>70</v>
      </c>
      <c r="G6" s="5" t="s">
        <v>71</v>
      </c>
      <c r="H6" s="18" t="s">
        <v>72</v>
      </c>
    </row>
    <row r="7" customFormat="false" ht="15" hidden="false" customHeight="false" outlineLevel="0" collapsed="false">
      <c r="A7" s="5" t="s">
        <v>75</v>
      </c>
      <c r="B7" s="6" t="s">
        <v>76</v>
      </c>
      <c r="C7" s="6" t="s">
        <v>67</v>
      </c>
      <c r="D7" s="6" t="s">
        <v>68</v>
      </c>
      <c r="E7" s="17" t="s">
        <v>69</v>
      </c>
      <c r="F7" s="17" t="s">
        <v>70</v>
      </c>
      <c r="G7" s="5" t="s">
        <v>71</v>
      </c>
      <c r="H7" s="18" t="s">
        <v>72</v>
      </c>
    </row>
    <row r="8" customFormat="false" ht="15" hidden="false" customHeight="false" outlineLevel="0" collapsed="false">
      <c r="A8" s="5" t="s">
        <v>77</v>
      </c>
      <c r="B8" s="6" t="s">
        <v>78</v>
      </c>
      <c r="C8" s="6" t="s">
        <v>79</v>
      </c>
      <c r="D8" s="6" t="s">
        <v>80</v>
      </c>
      <c r="E8" s="17" t="s">
        <v>81</v>
      </c>
      <c r="F8" s="17" t="s">
        <v>82</v>
      </c>
      <c r="G8" s="5" t="s">
        <v>71</v>
      </c>
      <c r="H8" s="18" t="s">
        <v>72</v>
      </c>
    </row>
    <row r="9" customFormat="false" ht="15" hidden="false" customHeight="false" outlineLevel="0" collapsed="false">
      <c r="A9" s="5" t="s">
        <v>83</v>
      </c>
      <c r="B9" s="6" t="s">
        <v>84</v>
      </c>
      <c r="C9" s="6" t="s">
        <v>85</v>
      </c>
      <c r="D9" s="6" t="s">
        <v>68</v>
      </c>
      <c r="E9" s="17" t="s">
        <v>86</v>
      </c>
      <c r="F9" s="17" t="s">
        <v>87</v>
      </c>
      <c r="G9" s="5" t="s">
        <v>71</v>
      </c>
      <c r="H9" s="18" t="s">
        <v>72</v>
      </c>
    </row>
    <row r="10" customFormat="false" ht="15" hidden="false" customHeight="false" outlineLevel="0" collapsed="false">
      <c r="A10" s="5" t="s">
        <v>88</v>
      </c>
      <c r="B10" s="6" t="s">
        <v>89</v>
      </c>
      <c r="C10" s="6" t="s">
        <v>67</v>
      </c>
      <c r="D10" s="6" t="s">
        <v>90</v>
      </c>
      <c r="E10" s="17" t="s">
        <v>91</v>
      </c>
      <c r="F10" s="17" t="s">
        <v>92</v>
      </c>
      <c r="G10" s="5" t="s">
        <v>71</v>
      </c>
      <c r="H10" s="19" t="s">
        <v>93</v>
      </c>
    </row>
    <row r="11" customFormat="false" ht="15" hidden="false" customHeight="false" outlineLevel="0" collapsed="false">
      <c r="A11" s="5" t="s">
        <v>94</v>
      </c>
      <c r="B11" s="6" t="s">
        <v>67</v>
      </c>
      <c r="C11" s="6" t="s">
        <v>95</v>
      </c>
      <c r="D11" s="6" t="s">
        <v>90</v>
      </c>
      <c r="E11" s="17" t="s">
        <v>96</v>
      </c>
      <c r="F11" s="17" t="s">
        <v>97</v>
      </c>
      <c r="G11" s="5" t="s">
        <v>98</v>
      </c>
      <c r="H11" s="19" t="s">
        <v>93</v>
      </c>
    </row>
    <row r="12" customFormat="false" ht="15" hidden="false" customHeight="false" outlineLevel="0" collapsed="false">
      <c r="A12" s="5" t="s">
        <v>99</v>
      </c>
      <c r="B12" s="6" t="s">
        <v>67</v>
      </c>
      <c r="C12" s="6" t="s">
        <v>100</v>
      </c>
      <c r="D12" s="6" t="s">
        <v>101</v>
      </c>
      <c r="E12" s="17" t="s">
        <v>102</v>
      </c>
      <c r="F12" s="17" t="s">
        <v>103</v>
      </c>
      <c r="G12" s="5" t="s">
        <v>71</v>
      </c>
      <c r="H12" s="20" t="s">
        <v>104</v>
      </c>
    </row>
    <row r="13" customFormat="false" ht="15" hidden="false" customHeight="false" outlineLevel="0" collapsed="false">
      <c r="A13" s="5" t="s">
        <v>105</v>
      </c>
      <c r="B13" s="6" t="s">
        <v>67</v>
      </c>
      <c r="C13" s="6" t="s">
        <v>106</v>
      </c>
      <c r="D13" s="6" t="s">
        <v>101</v>
      </c>
      <c r="E13" s="17" t="s">
        <v>102</v>
      </c>
      <c r="F13" s="17" t="s">
        <v>103</v>
      </c>
      <c r="G13" s="5" t="s">
        <v>71</v>
      </c>
      <c r="H13" s="20" t="s">
        <v>104</v>
      </c>
    </row>
    <row r="14" customFormat="false" ht="15" hidden="false" customHeight="false" outlineLevel="0" collapsed="false">
      <c r="A14" s="5" t="s">
        <v>107</v>
      </c>
      <c r="B14" s="6" t="s">
        <v>67</v>
      </c>
      <c r="C14" s="6" t="s">
        <v>108</v>
      </c>
      <c r="D14" s="6" t="s">
        <v>101</v>
      </c>
      <c r="E14" s="17" t="s">
        <v>109</v>
      </c>
      <c r="F14" s="17" t="s">
        <v>103</v>
      </c>
      <c r="G14" s="5" t="s">
        <v>71</v>
      </c>
      <c r="H14" s="20" t="s">
        <v>104</v>
      </c>
    </row>
    <row r="15" customFormat="false" ht="15" hidden="false" customHeight="false" outlineLevel="0" collapsed="false">
      <c r="A15" s="5" t="s">
        <v>110</v>
      </c>
      <c r="B15" s="6" t="s">
        <v>111</v>
      </c>
      <c r="C15" s="6" t="s">
        <v>112</v>
      </c>
      <c r="D15" s="6" t="s">
        <v>113</v>
      </c>
      <c r="E15" s="17" t="s">
        <v>114</v>
      </c>
      <c r="F15" s="17" t="s">
        <v>115</v>
      </c>
      <c r="G15" s="5" t="s">
        <v>71</v>
      </c>
      <c r="H15" s="20" t="s">
        <v>104</v>
      </c>
    </row>
    <row r="16" customFormat="false" ht="15" hidden="false" customHeight="false" outlineLevel="0" collapsed="false">
      <c r="A16" s="5" t="s">
        <v>116</v>
      </c>
      <c r="B16" s="6" t="s">
        <v>117</v>
      </c>
      <c r="C16" s="6" t="s">
        <v>118</v>
      </c>
      <c r="D16" s="6" t="s">
        <v>119</v>
      </c>
      <c r="E16" s="17" t="s">
        <v>120</v>
      </c>
      <c r="F16" s="17" t="s">
        <v>121</v>
      </c>
      <c r="G16" s="5" t="s">
        <v>71</v>
      </c>
      <c r="H16" s="2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3" t="s">
        <v>124</v>
      </c>
    </row>
    <row r="4" customFormat="false" ht="31.5" hidden="false" customHeight="true" outlineLevel="0" collapsed="false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131</v>
      </c>
      <c r="H4" s="4" t="s">
        <v>17</v>
      </c>
      <c r="I4" s="4" t="s">
        <v>132</v>
      </c>
      <c r="J4" s="4" t="s">
        <v>133</v>
      </c>
    </row>
    <row r="5" customFormat="false" ht="15" hidden="false" customHeight="false" outlineLevel="0" collapsed="false">
      <c r="A5" s="6" t="s">
        <v>134</v>
      </c>
      <c r="B5" s="5" t="s">
        <v>65</v>
      </c>
      <c r="C5" s="17" t="s">
        <v>135</v>
      </c>
      <c r="D5" s="10" t="n">
        <v>1</v>
      </c>
      <c r="E5" s="22" t="n">
        <v>1000</v>
      </c>
      <c r="F5" s="10" t="n">
        <v>16</v>
      </c>
      <c r="G5" s="23" t="n">
        <f aca="false">ROUNDUP(F5/8,0)</f>
        <v>2</v>
      </c>
      <c r="H5" s="23" t="n">
        <f aca="false">$C$15</f>
        <v>30</v>
      </c>
      <c r="I5" s="24" t="n">
        <f aca="false">D5*E5*G5*H5/1000</f>
        <v>60</v>
      </c>
      <c r="J5" s="24" t="n">
        <f aca="false">D5*E5*(G5+$C$14)*H5/1000</f>
        <v>180</v>
      </c>
    </row>
    <row r="6" customFormat="false" ht="15" hidden="false" customHeight="false" outlineLevel="0" collapsed="false">
      <c r="A6" s="6" t="s">
        <v>136</v>
      </c>
      <c r="B6" s="5" t="s">
        <v>73</v>
      </c>
      <c r="C6" s="17" t="s">
        <v>137</v>
      </c>
      <c r="D6" s="10" t="n">
        <v>1</v>
      </c>
      <c r="E6" s="22" t="n">
        <v>500</v>
      </c>
      <c r="F6" s="10" t="n">
        <v>16</v>
      </c>
      <c r="G6" s="23" t="n">
        <f aca="false">ROUNDUP(F6/8,0)</f>
        <v>2</v>
      </c>
      <c r="H6" s="23" t="n">
        <f aca="false">$C$15</f>
        <v>30</v>
      </c>
      <c r="I6" s="24" t="n">
        <f aca="false">D6*E6*G6*H6/1000</f>
        <v>30</v>
      </c>
      <c r="J6" s="24" t="n">
        <f aca="false">D6*E6*(G6+$C$14)*H6/1000</f>
        <v>90</v>
      </c>
    </row>
    <row r="7" customFormat="false" ht="15" hidden="false" customHeight="false" outlineLevel="0" collapsed="false">
      <c r="A7" s="6" t="s">
        <v>138</v>
      </c>
      <c r="B7" s="5" t="s">
        <v>75</v>
      </c>
      <c r="C7" s="17" t="s">
        <v>137</v>
      </c>
      <c r="D7" s="10" t="n">
        <v>1</v>
      </c>
      <c r="E7" s="22" t="n">
        <v>500</v>
      </c>
      <c r="F7" s="10" t="n">
        <v>16</v>
      </c>
      <c r="G7" s="23" t="n">
        <f aca="false">ROUNDUP(F7/8,0)</f>
        <v>2</v>
      </c>
      <c r="H7" s="23" t="n">
        <f aca="false">$C$15</f>
        <v>30</v>
      </c>
      <c r="I7" s="24" t="n">
        <f aca="false">D7*E7*G7*H7/1000</f>
        <v>30</v>
      </c>
      <c r="J7" s="24" t="n">
        <f aca="false">D7*E7*(G7+$C$14)*H7/1000</f>
        <v>90</v>
      </c>
    </row>
    <row r="8" customFormat="false" ht="15" hidden="false" customHeight="false" outlineLevel="0" collapsed="false">
      <c r="A8" s="6" t="s">
        <v>139</v>
      </c>
      <c r="B8" s="5" t="s">
        <v>77</v>
      </c>
      <c r="C8" s="17" t="s">
        <v>140</v>
      </c>
      <c r="D8" s="10" t="n">
        <v>1</v>
      </c>
      <c r="E8" s="22" t="n">
        <v>500</v>
      </c>
      <c r="F8" s="10" t="n">
        <v>24</v>
      </c>
      <c r="G8" s="23" t="n">
        <f aca="false">ROUNDUP(F8/8,0)</f>
        <v>3</v>
      </c>
      <c r="H8" s="23" t="n">
        <f aca="false">$C$15</f>
        <v>30</v>
      </c>
      <c r="I8" s="24" t="n">
        <f aca="false">D8*E8*G8*H8/1000</f>
        <v>45</v>
      </c>
      <c r="J8" s="24" t="n">
        <f aca="false">D8*E8*(G8+$C$14)*H8/1000</f>
        <v>105</v>
      </c>
    </row>
    <row r="9" customFormat="false" ht="15" hidden="false" customHeight="false" outlineLevel="0" collapsed="false">
      <c r="A9" s="6" t="s">
        <v>141</v>
      </c>
      <c r="B9" s="5" t="s">
        <v>83</v>
      </c>
      <c r="C9" s="17" t="s">
        <v>142</v>
      </c>
      <c r="D9" s="10" t="n">
        <v>2</v>
      </c>
      <c r="E9" s="22" t="n">
        <v>10</v>
      </c>
      <c r="F9" s="10" t="n">
        <v>16</v>
      </c>
      <c r="G9" s="23" t="n">
        <f aca="false">ROUNDUP(F9/8,0)</f>
        <v>2</v>
      </c>
      <c r="H9" s="23" t="n">
        <f aca="false">$C$15</f>
        <v>30</v>
      </c>
      <c r="I9" s="24" t="n">
        <f aca="false">D9*E9*G9*H9/1000</f>
        <v>1.2</v>
      </c>
      <c r="J9" s="24" t="n">
        <f aca="false">D9*E9*(G9+$C$14)*H9/1000</f>
        <v>3.6</v>
      </c>
    </row>
    <row r="10" customFormat="false" ht="15" hidden="false" customHeight="false" outlineLevel="0" collapsed="false">
      <c r="A10" s="6" t="s">
        <v>143</v>
      </c>
      <c r="B10" s="5" t="s">
        <v>144</v>
      </c>
      <c r="C10" s="17" t="s">
        <v>97</v>
      </c>
      <c r="D10" s="10" t="n">
        <v>1</v>
      </c>
      <c r="E10" s="22" t="n">
        <v>100</v>
      </c>
      <c r="F10" s="10" t="n">
        <v>8</v>
      </c>
      <c r="G10" s="23" t="n">
        <f aca="false">ROUNDUP(F10/8,0)</f>
        <v>1</v>
      </c>
      <c r="H10" s="23" t="n">
        <f aca="false">$C$15</f>
        <v>30</v>
      </c>
      <c r="I10" s="24" t="n">
        <f aca="false">D10*E10*G10*H10/1000</f>
        <v>3</v>
      </c>
      <c r="J10" s="24" t="n">
        <f aca="false">D10*E10*(G10+$C$14)*H10/1000</f>
        <v>15</v>
      </c>
    </row>
    <row r="11" customFormat="false" ht="15" hidden="false" customHeight="false" outlineLevel="0" collapsed="false">
      <c r="A11" s="11" t="s">
        <v>42</v>
      </c>
      <c r="B11" s="11"/>
      <c r="C11" s="11"/>
      <c r="D11" s="11"/>
      <c r="E11" s="11"/>
      <c r="F11" s="11"/>
      <c r="G11" s="11"/>
      <c r="H11" s="11"/>
      <c r="I11" s="25" t="n">
        <f aca="false">SUM(I5:I10)</f>
        <v>169.2</v>
      </c>
      <c r="J11" s="25" t="n">
        <f aca="false">SUM(J5:J10)</f>
        <v>483.6</v>
      </c>
    </row>
    <row r="13" customFormat="false" ht="15" hidden="false" customHeight="false" outlineLevel="0" collapsed="false">
      <c r="A13" s="13" t="s">
        <v>43</v>
      </c>
    </row>
    <row r="14" customFormat="false" ht="15" hidden="false" customHeight="false" outlineLevel="0" collapsed="false">
      <c r="A14" s="6" t="s">
        <v>145</v>
      </c>
      <c r="C14" s="10" t="n">
        <v>4</v>
      </c>
    </row>
    <row r="15" customFormat="false" ht="23.85" hidden="false" customHeight="false" outlineLevel="0" collapsed="false">
      <c r="A15" s="6" t="s">
        <v>146</v>
      </c>
      <c r="C15" s="10" t="n">
        <v>30</v>
      </c>
    </row>
    <row r="17" customFormat="false" ht="15" hidden="false" customHeight="false" outlineLevel="0" collapsed="false">
      <c r="A17" s="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2026-10-22T16:39:25Z</dcterms:created>
  <dc:creator>openpyxl</dc:creator>
  <dc:description/>
  <dc:language>en-US</dc:language>
  <cp:lastModifiedBy/>
  <dcterms:modified xsi:type="dcterms:W3CDTF">2026-10-22T16:39:25Z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